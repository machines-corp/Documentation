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_fecifu\DUOC UC\2025-02\Capstone\Grupo 05\"/>
    </mc:Choice>
  </mc:AlternateContent>
  <xr:revisionPtr revIDLastSave="0" documentId="13_ncr:1_{37E66C3E-DBBD-4A0D-AC8B-7CF5F97A1D2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<sst xmlns="http://schemas.openxmlformats.org/spreadsheetml/2006/main" count="164" uniqueCount="66">
  <si>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</si>
  <si>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</si>
  <si>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</si>
  <si>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</si>
  <si>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</si>
  <si>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</si>
  <si>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</si>
  <si>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</si>
  <si>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</si>
  <si>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</si>
  <si>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</si>
  <si>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</si>
  <si>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</si>
  <si>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</si>
  <si>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</si>
  <si>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</si>
  <si>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</si>
  <si>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</si>
  <si>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</si>
  <si>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</si>
  <si>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</si>
  <si>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</si>
  <si>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</si>
  <si>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</si>
  <si>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</si>
  <si>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</si>
  <si>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</si>
  <si>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</si>
  <si>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</si>
  <si>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</si>
  <si>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</si>
  <si>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</si>
  <si>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</si>
  <si>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</si>
  <si>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</si>
  <si>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</si>
  <si>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</si>
  <si>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</si>
  <si>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</si>
  <si>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</si>
  <si>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</si>
  <si>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</si>
  <si>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</si>
  <si>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</si>
  <si>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</si>
  <si>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</si>
  <si>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</si>
  <si>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</si>
  <si>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</si>
  <si>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</si>
  <si>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</si>
  <si>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</si>
  <si>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</si>
  <si>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</si>
  <si>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</si>
  <si>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</si>
  <si>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</si>
  <si>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</si>
  <si>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</si>
  <si>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</si>
  <si>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</si>
  <si>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</si>
  <si>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</si>
  <si>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ELJURI SALAZAR FRANCISCO JOSE</t>
  </si>
  <si>
    <t>COLMENAREZ NAGUANAGUA CARLOS EDUARDO</t>
  </si>
  <si>
    <t>RIVAS GAZMURI JAVIER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</si>
</sst>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7" fillId="0" borderId="1" xfId="0" applyFont="1" applyBorder="1"/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B8" sqref="B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8">
        <v>0.7</v>
      </c>
      <c r="D2" s="31">
        <v>0.3</v>
      </c>
      <c r="E2" s="32">
        <v>1</v>
      </c>
    </row>
    <row r="3" spans="1:11" ht="30" x14ac:dyDescent="0.25">
      <c r="B3" s="2" t="s">
        <v>0</v>
      </c>
      <c r="C3" s="29" t="s">
        <v>1</v>
      </c>
      <c r="D3" s="33" t="s">
        <v>2</v>
      </c>
      <c r="E3" s="34" t="s">
        <v>3</v>
      </c>
    </row>
    <row r="4" spans="1:11" x14ac:dyDescent="0.25">
      <c r="A4" s="3">
        <v>1</v>
      </c>
      <c r="B4" s="38" t="s">
        <v>63</v>
      </c>
      <c r="C4" s="30">
        <f>C21</f>
        <v>7</v>
      </c>
      <c r="D4" s="36">
        <f>C60</f>
        <v>7</v>
      </c>
      <c r="E4" s="35">
        <f>C4*C$2+D4*D$2</f>
        <v>7</v>
      </c>
    </row>
    <row r="5" spans="1:11" x14ac:dyDescent="0.25">
      <c r="A5" s="3">
        <v>2</v>
      </c>
      <c r="B5" s="38" t="s">
        <v>64</v>
      </c>
      <c r="C5" s="30">
        <f>C34</f>
        <v>7</v>
      </c>
      <c r="D5" s="36">
        <f>C73</f>
        <v>7</v>
      </c>
      <c r="E5" s="35">
        <f t="shared" ref="E5:E6" si="0">C5*C$2+D5*D$2</f>
        <v>7</v>
      </c>
    </row>
    <row r="6" spans="1:11" x14ac:dyDescent="0.25">
      <c r="A6" s="3">
        <v>3</v>
      </c>
      <c r="B6" s="38" t="s">
        <v>65</v>
      </c>
      <c r="C6" s="30">
        <f>C47</f>
        <v>7</v>
      </c>
      <c r="D6" s="36">
        <f>C86</f>
        <v>7</v>
      </c>
      <c r="E6" s="35">
        <f t="shared" si="0"/>
        <v>7</v>
      </c>
    </row>
    <row r="11" spans="1:11" ht="18.75" outlineLevel="1" x14ac:dyDescent="0.25">
      <c r="A11" s="39" t="s">
        <v>4</v>
      </c>
      <c r="B11" s="11" t="str">
        <f>B4</f>
        <v>ELJURI SALAZAR FRANCISCO JOSE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8" t="str">
        <f>RUBRICA!A4</f>
        <v xml:space="preserve">1. Presenta el proyecto considerando la relevancia, objetivos, metodología y desarrollo, de acuerdo a los estándares de calidad de la disciplina. </v>
      </c>
      <c r="C13" s="16" t="s">
        <v>8</v>
      </c>
      <c r="D13" s="12" t="str">
        <f t="shared" ref="D13:D17" si="1">IF($C13=CL,"X","")</f>
        <v>X</v>
      </c>
      <c r="E13" s="12">
        <f>IF(D13="X",100*0.15,"")</f>
        <v>15</v>
      </c>
      <c r="F13" s="12" t="str">
        <f t="shared" ref="F13:F17" si="2">IF($C13=L,"X","")</f>
        <v/>
      </c>
      <c r="G13" s="12" t="str">
        <f>IF(F13="X",60*0.15,"")</f>
        <v/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 x14ac:dyDescent="0.25">
      <c r="A14" s="41"/>
      <c r="B14" s="18" t="str">
        <f>RUBRICA!A5</f>
        <v xml:space="preserve">2. Presenta las evidencias del Proyecto APT, dando cuenta del cumplimiento de los objetivos y de acuerdo a los estándares de la disciplina. </v>
      </c>
      <c r="C14" s="16" t="s">
        <v>8</v>
      </c>
      <c r="D14" s="12" t="str">
        <f t="shared" si="1"/>
        <v>X</v>
      </c>
      <c r="E14" s="12">
        <f>IF(D14="X",100*0.25,"")</f>
        <v>25</v>
      </c>
      <c r="F14" s="12" t="str">
        <f t="shared" si="2"/>
        <v/>
      </c>
      <c r="G14" s="12" t="str">
        <f>IF(F14="X",60*0.25,"")</f>
        <v/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25">
      <c r="A15" s="41"/>
      <c r="B15" s="18" t="str">
        <f>RUBRICA!A6</f>
        <v>3. Responde las preguntas realizadas por la comisión, cumpliendo con los estándares de calidad de la disciplina.</v>
      </c>
      <c r="C15" s="16" t="s">
        <v>8</v>
      </c>
      <c r="D15" s="12" t="str">
        <f t="shared" si="1"/>
        <v>X</v>
      </c>
      <c r="E15" s="12">
        <f>IF(D15="X",100*0.2,"")</f>
        <v>20</v>
      </c>
      <c r="F15" s="12" t="str">
        <f t="shared" si="2"/>
        <v/>
      </c>
      <c r="G15" s="12" t="str">
        <f>IF(F15="X",60*0.2,"")</f>
        <v/>
      </c>
      <c r="H15" s="12" t="str">
        <f t="shared" si="3"/>
        <v/>
      </c>
      <c r="I15" s="12" t="str">
        <f>IF(H15="X",30*0.2,"")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25">
      <c r="A16" s="41"/>
      <c r="B16" s="18" t="str">
        <f>RUBRICA!A7</f>
        <v>4. Expone el Proyecto APT, considerando el formato y el tiempo establecido para la presentación.</v>
      </c>
      <c r="C16" s="16" t="s">
        <v>8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25">
      <c r="A17" s="41"/>
      <c r="B17" s="18" t="str">
        <f>RUBRICA!A8</f>
        <v>5. Expresa sus ideas con fluidez, claridad y precisión, utilizando lenguaje técnico propio de la disciplina.</v>
      </c>
      <c r="C17" s="16" t="s">
        <v>8</v>
      </c>
      <c r="D17" s="12" t="str">
        <f t="shared" si="1"/>
        <v>X</v>
      </c>
      <c r="E17" s="12">
        <f>IF(D17="X",100*0.05,"")</f>
        <v>5</v>
      </c>
      <c r="F17" s="12" t="str">
        <f t="shared" si="2"/>
        <v/>
      </c>
      <c r="G17" s="12" t="str">
        <f>IF(F17="X",60*0.05,"")</f>
        <v/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36" outlineLevel="1" x14ac:dyDescent="0.25">
      <c r="A18" s="41"/>
      <c r="B18" s="18" t="str">
        <f>RUBRICA!A9</f>
        <v>6. Entrega la documentación y evidencias requerida por la asignatura de acuerdo a la estructura y nombres solicitados, guardando todas las evidencias de avances en Git</v>
      </c>
      <c r="C18" s="16" t="s">
        <v>8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 x14ac:dyDescent="0.25">
      <c r="A19" s="41"/>
      <c r="B19" s="18" t="str">
        <f>RUBRICA!A10</f>
        <v xml:space="preserve">7. Expone el tema utilizando un lenguaje técnico disciplinar al presentar la propuesta y responde evidenciando un manejo de la información. </v>
      </c>
      <c r="C19" s="16" t="s">
        <v>8</v>
      </c>
      <c r="D19" s="12" t="str">
        <f>IF($C19=CL,"X","")</f>
        <v>X</v>
      </c>
      <c r="E19" s="12">
        <f>IF(D19="X",100*0.1,"")</f>
        <v>10</v>
      </c>
      <c r="F19" s="12" t="str">
        <f>IF($C19=L,"X","")</f>
        <v/>
      </c>
      <c r="G19" s="12" t="str">
        <f>IF(F19="X",60*0.1,"")</f>
        <v/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 x14ac:dyDescent="0.3">
      <c r="A20" s="40"/>
      <c r="B20" s="17" t="s">
        <v>12</v>
      </c>
      <c r="C20" s="21">
        <f>E20+G20+I20+K20</f>
        <v>100</v>
      </c>
      <c r="D20" s="13"/>
      <c r="E20" s="13">
        <f>SUM(E13:E19)</f>
        <v>100</v>
      </c>
      <c r="F20" s="13"/>
      <c r="G20" s="13">
        <f>SUM(G13:G19)</f>
        <v>0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0" t="s">
        <v>13</v>
      </c>
      <c r="C21" s="14">
        <f>VLOOKUP(C20,ESCALA_IEP!A2:B202,2,FALSE)</f>
        <v>7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COLMENAREZ NAGUANAGUA CARLOS EDUARDO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8" t="str">
        <f>RUBRICA!A4</f>
        <v xml:space="preserve">1. Presenta el proyecto considerando la relevancia, objetivos, metodología y desarrollo, de acuerdo a los estándares de calidad de la disciplina. </v>
      </c>
      <c r="C26" s="16" t="s">
        <v>8</v>
      </c>
      <c r="D26" s="12" t="str">
        <f t="shared" ref="D26:D30" si="7">IF($C26=CL,"X","")</f>
        <v>X</v>
      </c>
      <c r="E26" s="12">
        <f>IF(D26="X",100*0.15,"")</f>
        <v>15</v>
      </c>
      <c r="F26" s="12" t="str">
        <f t="shared" ref="F26:F30" si="8">IF($C26=L,"X","")</f>
        <v/>
      </c>
      <c r="G26" s="12" t="str">
        <f>IF(F26="X",60*0.15,"")</f>
        <v/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 x14ac:dyDescent="0.25">
      <c r="A27" s="41"/>
      <c r="B27" s="18" t="str">
        <f>RUBRICA!A5</f>
        <v xml:space="preserve">2. Presenta las evidencias del Proyecto APT, dando cuenta del cumplimiento de los objetivos y de acuerdo a los estándares de la disciplina. </v>
      </c>
      <c r="C27" s="16" t="s">
        <v>8</v>
      </c>
      <c r="D27" s="12" t="str">
        <f t="shared" si="7"/>
        <v>X</v>
      </c>
      <c r="E27" s="12">
        <f>IF(D27="X",100*0.25,"")</f>
        <v>25</v>
      </c>
      <c r="F27" s="12" t="str">
        <f t="shared" si="8"/>
        <v/>
      </c>
      <c r="G27" s="12" t="str">
        <f>IF(F27="X",60*0.25,"")</f>
        <v/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25">
      <c r="A28" s="41"/>
      <c r="B28" s="18" t="str">
        <f>RUBRICA!A6</f>
        <v>3. Responde las preguntas realizadas por la comisión, cumpliendo con los estándares de calidad de la disciplina.</v>
      </c>
      <c r="C28" s="16" t="s">
        <v>8</v>
      </c>
      <c r="D28" s="12" t="str">
        <f t="shared" si="7"/>
        <v>X</v>
      </c>
      <c r="E28" s="12">
        <f>IF(D28="X",100*0.2,"")</f>
        <v>20</v>
      </c>
      <c r="F28" s="12" t="str">
        <f t="shared" si="8"/>
        <v/>
      </c>
      <c r="G28" s="12" t="str">
        <f>IF(F28="X",60*0.2,"")</f>
        <v/>
      </c>
      <c r="H28" s="12" t="str">
        <f t="shared" si="9"/>
        <v/>
      </c>
      <c r="I28" s="12" t="str">
        <f>IF(H28="X",30*0.2,"")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25">
      <c r="A29" s="41"/>
      <c r="B29" s="18" t="str">
        <f>RUBRICA!A7</f>
        <v>4. Expone el Proyecto APT, considerando el formato y el tiempo establecido para la presentación.</v>
      </c>
      <c r="C29" s="16" t="s">
        <v>8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25">
      <c r="A30" s="41"/>
      <c r="B30" s="18" t="str">
        <f>RUBRICA!A8</f>
        <v>5. Expresa sus ideas con fluidez, claridad y precisión, utilizando lenguaje técnico propio de la disciplina.</v>
      </c>
      <c r="C30" s="16" t="s">
        <v>8</v>
      </c>
      <c r="D30" s="12" t="str">
        <f t="shared" si="7"/>
        <v>X</v>
      </c>
      <c r="E30" s="12">
        <f>IF(D30="X",100*0.05,"")</f>
        <v>5</v>
      </c>
      <c r="F30" s="12" t="str">
        <f t="shared" si="8"/>
        <v/>
      </c>
      <c r="G30" s="12" t="str">
        <f>IF(F30="X",60*0.05,"")</f>
        <v/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 x14ac:dyDescent="0.25">
      <c r="A31" s="41"/>
      <c r="B31" s="18" t="str">
        <f>RUBRICA!A9</f>
        <v>6. Entrega la documentación y evidencias requerida por la asignatura de acuerdo a la estructura y nombres solicitados, guardando todas las evidencias de avances en Git</v>
      </c>
      <c r="C31" s="16" t="s">
        <v>8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25">
      <c r="A32" s="41"/>
      <c r="B32" s="18" t="str">
        <f>RUBRICA!A10</f>
        <v xml:space="preserve">7. Expone el tema utilizando un lenguaje técnico disciplinar al presentar la propuesta y responde evidenciando un manejo de la información. </v>
      </c>
      <c r="C32" s="16" t="s">
        <v>8</v>
      </c>
      <c r="D32" s="12" t="str">
        <f>IF($C32=CL,"X","")</f>
        <v>X</v>
      </c>
      <c r="E32" s="12">
        <f>IF(D32="X",100*0.1,"")</f>
        <v>10</v>
      </c>
      <c r="F32" s="12" t="str">
        <f>IF($C32=L,"X","")</f>
        <v/>
      </c>
      <c r="G32" s="12" t="str">
        <f>IF(F32="X",60*0.1,"")</f>
        <v/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 x14ac:dyDescent="0.3">
      <c r="A33" s="40"/>
      <c r="B33" s="17" t="s">
        <v>12</v>
      </c>
      <c r="C33" s="21">
        <f>E33+G33+I33+K33</f>
        <v>100</v>
      </c>
      <c r="D33" s="13"/>
      <c r="E33" s="13">
        <f>SUM(E26:E32)</f>
        <v>100</v>
      </c>
      <c r="F33" s="13"/>
      <c r="G33" s="13">
        <f>SUM(G26:G32)</f>
        <v>0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0" t="s">
        <v>13</v>
      </c>
      <c r="C34" s="14">
        <f>VLOOKUP(C33,ESCALA_IEP!A15:B215,2,FALSE)</f>
        <v>7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 t="str">
        <f>B6</f>
        <v>RIVAS GAZMURI JAVIER IGNACIO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8" t="str">
        <f>RUBRICA!A4</f>
        <v xml:space="preserve">1. Presenta el proyecto considerando la relevancia, objetivos, metodología y desarrollo, de acuerdo a los estándares de calidad de la disciplina. </v>
      </c>
      <c r="C39" s="16" t="s">
        <v>8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 x14ac:dyDescent="0.25">
      <c r="A40" s="41"/>
      <c r="B40" s="18" t="str">
        <f>RUBRICA!A5</f>
        <v xml:space="preserve">2. Presenta las evidencias del Proyecto APT, dando cuenta del cumplimiento de los objetivos y de acuerdo a los estándares de la disciplina. </v>
      </c>
      <c r="C40" s="16" t="s">
        <v>8</v>
      </c>
      <c r="D40" s="12" t="str">
        <f t="shared" si="12"/>
        <v>X</v>
      </c>
      <c r="E40" s="12">
        <f>IF(D40="X",100*0.25,"")</f>
        <v>25</v>
      </c>
      <c r="F40" s="12" t="str">
        <f t="shared" si="13"/>
        <v/>
      </c>
      <c r="G40" s="12" t="str">
        <f>IF(F40="X",60*0.25,"")</f>
        <v/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25">
      <c r="A41" s="41"/>
      <c r="B41" s="18" t="str">
        <f>RUBRICA!A6</f>
        <v>3. Responde las preguntas realizadas por la comisión, cumpliendo con los estándares de calidad de la disciplina.</v>
      </c>
      <c r="C41" s="16" t="s">
        <v>8</v>
      </c>
      <c r="D41" s="12" t="str">
        <f t="shared" si="12"/>
        <v>X</v>
      </c>
      <c r="E41" s="12">
        <f>IF(D41="X",100*0.2,"")</f>
        <v>20</v>
      </c>
      <c r="F41" s="12" t="str">
        <f t="shared" si="13"/>
        <v/>
      </c>
      <c r="G41" s="12" t="str">
        <f>IF(F41="X",60*0.2,"")</f>
        <v/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25">
      <c r="A42" s="41"/>
      <c r="B42" s="18" t="str">
        <f>RUBRICA!A7</f>
        <v>4. Expone el Proyecto APT, considerando el formato y el tiempo establecido para la presentación.</v>
      </c>
      <c r="C42" s="16" t="s">
        <v>8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25">
      <c r="A43" s="41"/>
      <c r="B43" s="18" t="str">
        <f>RUBRICA!A8</f>
        <v>5. Expresa sus ideas con fluidez, claridad y precisión, utilizando lenguaje técnico propio de la disciplina.</v>
      </c>
      <c r="C43" s="16" t="s">
        <v>8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 x14ac:dyDescent="0.25">
      <c r="A44" s="41"/>
      <c r="B44" s="18" t="str">
        <f>RUBRICA!A9</f>
        <v>6. Entrega la documentación y evidencias requerida por la asignatura de acuerdo a la estructura y nombres solicitados, guardando todas las evidencias de avances en Git</v>
      </c>
      <c r="C44" s="16" t="s">
        <v>8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25">
      <c r="A45" s="41"/>
      <c r="B45" s="18" t="str">
        <f>RUBRICA!A10</f>
        <v xml:space="preserve">7. Expone el tema utilizando un lenguaje técnico disciplinar al presentar la propuesta y responde evidenciando un manejo de la información. </v>
      </c>
      <c r="C45" s="16" t="s">
        <v>8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 x14ac:dyDescent="0.3">
      <c r="A46" s="40"/>
      <c r="B46" s="17" t="s">
        <v>12</v>
      </c>
      <c r="C46" s="21">
        <f>E46+G46+I46+K46</f>
        <v>100</v>
      </c>
      <c r="D46" s="13"/>
      <c r="E46" s="13">
        <f>SUM(E39:E45)</f>
        <v>100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0" t="s">
        <v>13</v>
      </c>
      <c r="C47" s="14">
        <f>VLOOKUP(C46,ESCALA_IEP!A28:B228,2,FALSE)</f>
        <v>7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ELJURI SALAZAR FRANCISCO JOSE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8" t="str">
        <f>RUBRICA!A4</f>
        <v xml:space="preserve">1. Presenta el proyecto considerando la relevancia, objetivos, metodología y desarrollo, de acuerdo a los estándares de calidad de la disciplina. </v>
      </c>
      <c r="C52" s="16" t="s">
        <v>8</v>
      </c>
      <c r="D52" s="12" t="str">
        <f t="shared" ref="D52:D56" si="17">IF($C52=CL,"X","")</f>
        <v>X</v>
      </c>
      <c r="E52" s="12">
        <f>IF(D52="X",100*0.15,"")</f>
        <v>15</v>
      </c>
      <c r="F52" s="12" t="str">
        <f t="shared" ref="F52:F56" si="18">IF($C52=L,"X","")</f>
        <v/>
      </c>
      <c r="G52" s="12" t="str">
        <f>IF(F52="X",60*0.15,"")</f>
        <v/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 x14ac:dyDescent="0.25">
      <c r="A53" s="41"/>
      <c r="B53" s="18" t="str">
        <f>RUBRICA!A5</f>
        <v xml:space="preserve">2. Presenta las evidencias del Proyecto APT, dando cuenta del cumplimiento de los objetivos y de acuerdo a los estándares de la disciplina. </v>
      </c>
      <c r="C53" s="16" t="s">
        <v>8</v>
      </c>
      <c r="D53" s="12" t="str">
        <f t="shared" si="17"/>
        <v>X</v>
      </c>
      <c r="E53" s="12">
        <f>IF(D53="X",100*0.25,"")</f>
        <v>25</v>
      </c>
      <c r="F53" s="12" t="str">
        <f t="shared" si="18"/>
        <v/>
      </c>
      <c r="G53" s="12" t="str">
        <f>IF(F53="X",60*0.25,"")</f>
        <v/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25">
      <c r="A54" s="41"/>
      <c r="B54" s="18" t="str">
        <f>RUBRICA!A6</f>
        <v>3. Responde las preguntas realizadas por la comisión, cumpliendo con los estándares de calidad de la disciplina.</v>
      </c>
      <c r="C54" s="16" t="s">
        <v>8</v>
      </c>
      <c r="D54" s="12" t="str">
        <f t="shared" si="17"/>
        <v>X</v>
      </c>
      <c r="E54" s="12">
        <f>IF(D54="X",100*0.2,"")</f>
        <v>20</v>
      </c>
      <c r="F54" s="12" t="str">
        <f t="shared" si="18"/>
        <v/>
      </c>
      <c r="G54" s="12" t="str">
        <f>IF(F54="X",60*0.2,"")</f>
        <v/>
      </c>
      <c r="H54" s="12" t="str">
        <f t="shared" si="19"/>
        <v/>
      </c>
      <c r="I54" s="12" t="str">
        <f>IF(H54="X",30*0.2,"")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25">
      <c r="A55" s="41"/>
      <c r="B55" s="18" t="str">
        <f>RUBRICA!A7</f>
        <v>4. Expone el Proyecto APT, considerando el formato y el tiempo establecido para la presentación.</v>
      </c>
      <c r="C55" s="16" t="s">
        <v>8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25">
      <c r="A56" s="41"/>
      <c r="B56" s="18" t="str">
        <f>RUBRICA!A8</f>
        <v>5. Expresa sus ideas con fluidez, claridad y precisión, utilizando lenguaje técnico propio de la disciplina.</v>
      </c>
      <c r="C56" s="16" t="s">
        <v>8</v>
      </c>
      <c r="D56" s="12" t="str">
        <f t="shared" si="17"/>
        <v>X</v>
      </c>
      <c r="E56" s="12">
        <f>IF(D56="X",100*0.05,"")</f>
        <v>5</v>
      </c>
      <c r="F56" s="12" t="str">
        <f t="shared" si="18"/>
        <v/>
      </c>
      <c r="G56" s="12" t="str">
        <f>IF(F56="X",60*0.05,"")</f>
        <v/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 x14ac:dyDescent="0.25">
      <c r="A57" s="41"/>
      <c r="B57" s="18" t="str">
        <f>RUBRICA!A9</f>
        <v>6. Entrega la documentación y evidencias requerida por la asignatura de acuerdo a la estructura y nombres solicitados, guardando todas las evidencias de avances en Git</v>
      </c>
      <c r="C57" s="16" t="s">
        <v>8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25">
      <c r="A58" s="41"/>
      <c r="B58" s="18" t="str">
        <f>RUBRICA!A10</f>
        <v xml:space="preserve">7. Expone el tema utilizando un lenguaje técnico disciplinar al presentar la propuesta y responde evidenciando un manejo de la información. </v>
      </c>
      <c r="C58" s="16" t="s">
        <v>8</v>
      </c>
      <c r="D58" s="12" t="str">
        <f>IF($C58=CL,"X","")</f>
        <v>X</v>
      </c>
      <c r="E58" s="12">
        <f>IF(D58="X",100*0.1,"")</f>
        <v>10</v>
      </c>
      <c r="F58" s="12" t="str">
        <f>IF($C58=L,"X","")</f>
        <v/>
      </c>
      <c r="G58" s="12" t="str">
        <f>IF(F58="X",60*0.1,"")</f>
        <v/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 x14ac:dyDescent="0.3">
      <c r="A59" s="40"/>
      <c r="B59" s="17" t="s">
        <v>12</v>
      </c>
      <c r="C59" s="21">
        <f>E59+G59+I59+K59</f>
        <v>100</v>
      </c>
      <c r="D59" s="13"/>
      <c r="E59" s="13">
        <f>SUM(E52:E58)</f>
        <v>100</v>
      </c>
      <c r="F59" s="13"/>
      <c r="G59" s="13">
        <f>SUM(G52:G58)</f>
        <v>0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0" t="s">
        <v>13</v>
      </c>
      <c r="C60" s="14">
        <f>VLOOKUP(C59,ESCALA_IEP!A41:B241,2,FALSE)</f>
        <v>7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COLMENAREZ NAGUANAGUA CARLOS EDUARDO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8" t="str">
        <f>RUBRICA!A4</f>
        <v xml:space="preserve">1. Presenta el proyecto considerando la relevancia, objetivos, metodología y desarrollo, de acuerdo a los estándares de calidad de la disciplina. </v>
      </c>
      <c r="C65" s="16" t="s">
        <v>8</v>
      </c>
      <c r="D65" s="12" t="str">
        <f t="shared" ref="D65:D69" si="22">IF($C65=CL,"X","")</f>
        <v>X</v>
      </c>
      <c r="E65" s="12">
        <f>IF(D65="X",100*0.15,"")</f>
        <v>15</v>
      </c>
      <c r="F65" s="12" t="str">
        <f t="shared" ref="F65:F69" si="23">IF($C65=L,"X","")</f>
        <v/>
      </c>
      <c r="G65" s="12" t="str">
        <f>IF(F65="X",60*0.15,"")</f>
        <v/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 x14ac:dyDescent="0.25">
      <c r="A66" s="41"/>
      <c r="B66" s="18" t="str">
        <f>RUBRICA!A5</f>
        <v xml:space="preserve">2. Presenta las evidencias del Proyecto APT, dando cuenta del cumplimiento de los objetivos y de acuerdo a los estándares de la disciplina. </v>
      </c>
      <c r="C66" s="16" t="s">
        <v>8</v>
      </c>
      <c r="D66" s="12" t="str">
        <f t="shared" si="22"/>
        <v>X</v>
      </c>
      <c r="E66" s="12">
        <f>IF(D66="X",100*0.25,"")</f>
        <v>25</v>
      </c>
      <c r="F66" s="12" t="str">
        <f t="shared" si="23"/>
        <v/>
      </c>
      <c r="G66" s="12" t="str">
        <f>IF(F66="X",60*0.25,"")</f>
        <v/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 x14ac:dyDescent="0.25">
      <c r="A67" s="41"/>
      <c r="B67" s="18" t="str">
        <f>RUBRICA!A6</f>
        <v>3. Responde las preguntas realizadas por la comisión, cumpliendo con los estándares de calidad de la disciplina.</v>
      </c>
      <c r="C67" s="16" t="s">
        <v>8</v>
      </c>
      <c r="D67" s="12" t="str">
        <f t="shared" si="22"/>
        <v>X</v>
      </c>
      <c r="E67" s="12">
        <f>IF(D67="X",100*0.2,"")</f>
        <v>20</v>
      </c>
      <c r="F67" s="12" t="str">
        <f t="shared" si="23"/>
        <v/>
      </c>
      <c r="G67" s="12" t="str">
        <f>IF(F67="X",60*0.2,"")</f>
        <v/>
      </c>
      <c r="H67" s="12" t="str">
        <f t="shared" si="24"/>
        <v/>
      </c>
      <c r="I67" s="12" t="str">
        <f>IF(H67="X",30*0.2,"")</f>
        <v/>
      </c>
      <c r="J67" s="12" t="str">
        <f t="shared" si="25"/>
        <v/>
      </c>
      <c r="K67" s="12" t="str">
        <f t="shared" si="26"/>
        <v/>
      </c>
    </row>
    <row r="68" spans="1:11" ht="24" customHeight="1" x14ac:dyDescent="0.25">
      <c r="A68" s="41"/>
      <c r="B68" s="18" t="str">
        <f>RUBRICA!A7</f>
        <v>4. Expone el Proyecto APT, considerando el formato y el tiempo establecido para la presentación.</v>
      </c>
      <c r="C68" s="16" t="s">
        <v>8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 x14ac:dyDescent="0.25">
      <c r="A69" s="41"/>
      <c r="B69" s="18" t="str">
        <f>RUBRICA!A8</f>
        <v>5. Expresa sus ideas con fluidez, claridad y precisión, utilizando lenguaje técnico propio de la disciplina.</v>
      </c>
      <c r="C69" s="16" t="s">
        <v>8</v>
      </c>
      <c r="D69" s="12" t="str">
        <f t="shared" si="22"/>
        <v>X</v>
      </c>
      <c r="E69" s="12">
        <f>IF(D69="X",100*0.05,"")</f>
        <v>5</v>
      </c>
      <c r="F69" s="12" t="str">
        <f t="shared" si="23"/>
        <v/>
      </c>
      <c r="G69" s="12" t="str">
        <f>IF(F69="X",60*0.05,"")</f>
        <v/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 x14ac:dyDescent="0.25">
      <c r="A70" s="41"/>
      <c r="B70" s="18" t="str">
        <f>RUBRICA!A9</f>
        <v>6. Entrega la documentación y evidencias requerida por la asignatura de acuerdo a la estructura y nombres solicitados, guardando todas las evidencias de avances en Git</v>
      </c>
      <c r="C70" s="16" t="s">
        <v>8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 x14ac:dyDescent="0.25">
      <c r="A71" s="41"/>
      <c r="B71" s="18" t="str">
        <f>RUBRICA!A10</f>
        <v xml:space="preserve">7. Expone el tema utilizando un lenguaje técnico disciplinar al presentar la propuesta y responde evidenciando un manejo de la información. </v>
      </c>
      <c r="C71" s="16" t="s">
        <v>8</v>
      </c>
      <c r="D71" s="12" t="str">
        <f>IF($C71=CL,"X","")</f>
        <v>X</v>
      </c>
      <c r="E71" s="12">
        <f>IF(D71="X",100*0.1,"")</f>
        <v>10</v>
      </c>
      <c r="F71" s="12" t="str">
        <f>IF($C71=L,"X","")</f>
        <v/>
      </c>
      <c r="G71" s="12" t="str">
        <f>IF(F71="X",60*0.1,"")</f>
        <v/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 x14ac:dyDescent="0.3">
      <c r="A72" s="40"/>
      <c r="B72" s="17" t="s">
        <v>12</v>
      </c>
      <c r="C72" s="21">
        <f>E72+G72+I72+K72</f>
        <v>100</v>
      </c>
      <c r="D72" s="13"/>
      <c r="E72" s="13">
        <f>SUM(E65:E71)</f>
        <v>100</v>
      </c>
      <c r="F72" s="13"/>
      <c r="G72" s="13">
        <f>SUM(G65:G71)</f>
        <v>0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0" t="s">
        <v>13</v>
      </c>
      <c r="C73" s="14">
        <f>VLOOKUP(C72,ESCALA_IEP!A54:B254,2,FALSE)</f>
        <v>7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 t="str">
        <f>B6</f>
        <v>RIVAS GAZMURI JAVIER IGNACIO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8" t="str">
        <f>RUBRICA!A4</f>
        <v xml:space="preserve">1. Presenta el proyecto considerando la relevancia, objetivos, metodología y desarrollo, de acuerdo a los estándares de calidad de la disciplina. </v>
      </c>
      <c r="C78" s="16" t="s">
        <v>8</v>
      </c>
      <c r="D78" s="12" t="str">
        <f t="shared" ref="D78:D82" si="27">IF($C78=CL,"X","")</f>
        <v>X</v>
      </c>
      <c r="E78" s="12">
        <f>IF(D78="X",100*0.15,"")</f>
        <v>15</v>
      </c>
      <c r="F78" s="12" t="str">
        <f t="shared" ref="F78:F82" si="28">IF($C78=L,"X","")</f>
        <v/>
      </c>
      <c r="G78" s="12" t="str">
        <f>IF(F78="X",60*0.15,"")</f>
        <v/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 x14ac:dyDescent="0.25">
      <c r="A79" s="41"/>
      <c r="B79" s="18" t="str">
        <f>RUBRICA!A5</f>
        <v xml:space="preserve">2. Presenta las evidencias del Proyecto APT, dando cuenta del cumplimiento de los objetivos y de acuerdo a los estándares de la disciplina. </v>
      </c>
      <c r="C79" s="16" t="s">
        <v>8</v>
      </c>
      <c r="D79" s="12" t="str">
        <f t="shared" si="27"/>
        <v>X</v>
      </c>
      <c r="E79" s="12">
        <f>IF(D79="X",100*0.25,"")</f>
        <v>25</v>
      </c>
      <c r="F79" s="12" t="str">
        <f t="shared" si="28"/>
        <v/>
      </c>
      <c r="G79" s="12" t="str">
        <f>IF(F79="X",60*0.25,"")</f>
        <v/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 x14ac:dyDescent="0.25">
      <c r="A80" s="41"/>
      <c r="B80" s="18" t="str">
        <f>RUBRICA!A6</f>
        <v>3. Responde las preguntas realizadas por la comisión, cumpliendo con los estándares de calidad de la disciplina.</v>
      </c>
      <c r="C80" s="16" t="s">
        <v>8</v>
      </c>
      <c r="D80" s="12" t="str">
        <f t="shared" si="27"/>
        <v>X</v>
      </c>
      <c r="E80" s="12">
        <f>IF(D80="X",100*0.2,"")</f>
        <v>20</v>
      </c>
      <c r="F80" s="12" t="str">
        <f t="shared" si="28"/>
        <v/>
      </c>
      <c r="G80" s="12" t="str">
        <f>IF(F80="X",60*0.2,"")</f>
        <v/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 x14ac:dyDescent="0.25">
      <c r="A81" s="41"/>
      <c r="B81" s="18" t="str">
        <f>RUBRICA!A7</f>
        <v>4. Expone el Proyecto APT, considerando el formato y el tiempo establecido para la presentación.</v>
      </c>
      <c r="C81" s="16" t="s">
        <v>8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 x14ac:dyDescent="0.25">
      <c r="A82" s="41"/>
      <c r="B82" s="18" t="str">
        <f>RUBRICA!A8</f>
        <v>5. Expresa sus ideas con fluidez, claridad y precisión, utilizando lenguaje técnico propio de la disciplina.</v>
      </c>
      <c r="C82" s="16" t="s">
        <v>8</v>
      </c>
      <c r="D82" s="12" t="str">
        <f t="shared" si="27"/>
        <v>X</v>
      </c>
      <c r="E82" s="12">
        <f>IF(D82="X",100*0.05,"")</f>
        <v>5</v>
      </c>
      <c r="F82" s="12" t="str">
        <f t="shared" si="28"/>
        <v/>
      </c>
      <c r="G82" s="12" t="str">
        <f>IF(F82="X",60*0.05,"")</f>
        <v/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 x14ac:dyDescent="0.25">
      <c r="A83" s="41"/>
      <c r="B83" s="18" t="str">
        <f>RUBRICA!A9</f>
        <v>6. Entrega la documentación y evidencias requerida por la asignatura de acuerdo a la estructura y nombres solicitados, guardando todas las evidencias de avances en Git</v>
      </c>
      <c r="C83" s="16" t="s">
        <v>8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 x14ac:dyDescent="0.25">
      <c r="A84" s="41"/>
      <c r="B84" s="18" t="str">
        <f>RUBRICA!A10</f>
        <v xml:space="preserve">7. Expone el tema utilizando un lenguaje técnico disciplinar al presentar la propuesta y responde evidenciando un manejo de la información. </v>
      </c>
      <c r="C84" s="16" t="s">
        <v>8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 x14ac:dyDescent="0.3">
      <c r="A85" s="40"/>
      <c r="B85" s="17" t="s">
        <v>12</v>
      </c>
      <c r="C85" s="21">
        <f>E85+G85+I85+K85</f>
        <v>100</v>
      </c>
      <c r="D85" s="13"/>
      <c r="E85" s="13">
        <f>SUM(E78:E84)</f>
        <v>100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0" t="s">
        <v>13</v>
      </c>
      <c r="C86" s="14">
        <f>VLOOKUP(C85,ESCALA_IEP!A67:B267,2,FALSE)</f>
        <v>7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4" t="s">
        <v>22</v>
      </c>
      <c r="E2" s="25" t="s">
        <v>11</v>
      </c>
      <c r="F2" s="50"/>
    </row>
    <row r="3" spans="1:6" x14ac:dyDescent="0.25">
      <c r="A3" s="50"/>
      <c r="B3" s="55"/>
      <c r="C3" s="55"/>
      <c r="D3" s="26">
        <v>0.3</v>
      </c>
      <c r="E3" s="26">
        <v>0</v>
      </c>
      <c r="F3" s="50"/>
    </row>
    <row r="4" spans="1:6" ht="102" x14ac:dyDescent="0.25">
      <c r="A4" s="22" t="s">
        <v>23</v>
      </c>
      <c r="B4" s="22" t="s">
        <v>24</v>
      </c>
      <c r="C4" s="22" t="s">
        <v>25</v>
      </c>
      <c r="D4" s="22" t="s">
        <v>26</v>
      </c>
      <c r="E4" s="22" t="s">
        <v>27</v>
      </c>
      <c r="F4" s="27">
        <v>15</v>
      </c>
    </row>
    <row r="5" spans="1:6" ht="136.9" customHeight="1" x14ac:dyDescent="0.25">
      <c r="A5" s="22" t="s">
        <v>28</v>
      </c>
      <c r="B5" s="22" t="s">
        <v>29</v>
      </c>
      <c r="C5" s="22" t="s">
        <v>30</v>
      </c>
      <c r="D5" s="22" t="s">
        <v>31</v>
      </c>
      <c r="E5" s="22" t="s">
        <v>32</v>
      </c>
      <c r="F5" s="27">
        <v>25</v>
      </c>
    </row>
    <row r="6" spans="1:6" ht="87" customHeight="1" x14ac:dyDescent="0.25">
      <c r="A6" s="22" t="s">
        <v>33</v>
      </c>
      <c r="B6" s="22" t="s">
        <v>34</v>
      </c>
      <c r="C6" s="22" t="s">
        <v>35</v>
      </c>
      <c r="D6" s="22" t="s">
        <v>36</v>
      </c>
      <c r="E6" s="22" t="s">
        <v>37</v>
      </c>
      <c r="F6" s="27">
        <v>20</v>
      </c>
    </row>
    <row r="7" spans="1:6" ht="89.25" x14ac:dyDescent="0.25">
      <c r="A7" s="22" t="s">
        <v>38</v>
      </c>
      <c r="B7" s="22" t="s">
        <v>39</v>
      </c>
      <c r="C7" s="22" t="s">
        <v>40</v>
      </c>
      <c r="D7" s="22" t="s">
        <v>41</v>
      </c>
      <c r="E7" s="22" t="s">
        <v>42</v>
      </c>
      <c r="F7" s="27">
        <v>5</v>
      </c>
    </row>
    <row r="8" spans="1:6" ht="89.25" x14ac:dyDescent="0.25">
      <c r="A8" s="22" t="s">
        <v>43</v>
      </c>
      <c r="B8" s="22" t="s">
        <v>44</v>
      </c>
      <c r="C8" s="22" t="s">
        <v>45</v>
      </c>
      <c r="D8" s="22" t="s">
        <v>46</v>
      </c>
      <c r="E8" s="22" t="s">
        <v>47</v>
      </c>
      <c r="F8" s="27">
        <v>5</v>
      </c>
    </row>
    <row r="9" spans="1:6" ht="89.25" x14ac:dyDescent="0.25">
      <c r="A9" s="22" t="s">
        <v>48</v>
      </c>
      <c r="B9" s="22" t="s">
        <v>49</v>
      </c>
      <c r="C9" s="22" t="s">
        <v>50</v>
      </c>
      <c r="D9" s="22" t="s">
        <v>51</v>
      </c>
      <c r="E9" s="22" t="s">
        <v>52</v>
      </c>
      <c r="F9" s="23">
        <v>20</v>
      </c>
    </row>
    <row r="10" spans="1:6" ht="126" customHeight="1" x14ac:dyDescent="0.25">
      <c r="A10" s="22" t="s">
        <v>53</v>
      </c>
      <c r="B10" s="22" t="s">
        <v>54</v>
      </c>
      <c r="C10" s="22" t="s">
        <v>55</v>
      </c>
      <c r="D10" s="22" t="s">
        <v>56</v>
      </c>
      <c r="E10" s="22" t="s">
        <v>57</v>
      </c>
      <c r="F10" s="23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19" t="s">
        <v>61</v>
      </c>
      <c r="E2" s="37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Felix Cifuentes Cid</cp:lastModifiedBy>
  <cp:revision/>
  <dcterms:created xsi:type="dcterms:W3CDTF">2023-08-07T04:08:01Z</dcterms:created>
  <dcterms:modified xsi:type="dcterms:W3CDTF">2025-12-10T04:36:48Z</dcterms:modified>
  <cp:category/>
  <cp:contentStatus/>
</cp:coreProperties>
</file>